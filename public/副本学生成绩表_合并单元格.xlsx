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student_score" sheetId="2" r:id="rId1"/>
    <sheet name="高一（1）班期中考试成绩" sheetId="3" r:id="rId2"/>
    <sheet name="高一（1）班成绩分析（按科目）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<sst xmlns="http://schemas.openxmlformats.org/spreadsheetml/2006/main" count="72" uniqueCount="45">
  <si>
    <r>
      <rPr>
        <b/>
        <sz val="16"/>
        <rFont val="SimSun"/>
        <charset val="134"/>
      </rPr>
      <t>学生成绩表</t>
    </r>
  </si>
  <si>
    <r>
      <rPr>
        <sz val="9"/>
        <rFont val="SimSun"/>
        <charset val="134"/>
      </rPr>
      <t>学号</t>
    </r>
  </si>
  <si>
    <r>
      <rPr>
        <sz val="9"/>
        <rFont val="SimSun"/>
        <charset val="134"/>
      </rPr>
      <t>姓名</t>
    </r>
  </si>
  <si>
    <r>
      <rPr>
        <sz val="9"/>
        <rFont val="SimSun"/>
        <charset val="134"/>
      </rPr>
      <t>班级</t>
    </r>
  </si>
  <si>
    <r>
      <rPr>
        <sz val="9"/>
        <rFont val="SimSun"/>
        <charset val="134"/>
      </rPr>
      <t>语文</t>
    </r>
  </si>
  <si>
    <r>
      <rPr>
        <sz val="9"/>
        <rFont val="SimSun"/>
        <charset val="134"/>
      </rPr>
      <t>数学</t>
    </r>
  </si>
  <si>
    <r>
      <rPr>
        <sz val="9"/>
        <rFont val="SimSun"/>
        <charset val="134"/>
      </rPr>
      <t>英语</t>
    </r>
  </si>
  <si>
    <r>
      <rPr>
        <sz val="9"/>
        <rFont val="SimSun"/>
        <charset val="134"/>
      </rPr>
      <t>物理</t>
    </r>
  </si>
  <si>
    <r>
      <rPr>
        <sz val="9"/>
        <rFont val="SimSun"/>
        <charset val="134"/>
      </rPr>
      <t>化学</t>
    </r>
  </si>
  <si>
    <r>
      <rPr>
        <sz val="9"/>
        <rFont val="SimSun"/>
        <charset val="134"/>
      </rPr>
      <t>总分</t>
    </r>
  </si>
  <si>
    <r>
      <rPr>
        <sz val="9"/>
        <rFont val="SimSun"/>
        <charset val="134"/>
      </rPr>
      <t>平均分</t>
    </r>
  </si>
  <si>
    <r>
      <rPr>
        <sz val="9"/>
        <rFont val="SimSun"/>
        <charset val="134"/>
      </rPr>
      <t>加权平均分(100)</t>
    </r>
  </si>
  <si>
    <t>合计</t>
  </si>
  <si>
    <r>
      <rPr>
        <sz val="9"/>
        <rFont val="SimSun"/>
        <charset val="134"/>
      </rPr>
      <t>张三</t>
    </r>
  </si>
  <si>
    <r>
      <rPr>
        <sz val="9"/>
        <rFont val="SimSun"/>
        <charset val="134"/>
      </rPr>
      <t>2001班</t>
    </r>
  </si>
  <si>
    <r>
      <rPr>
        <sz val="9"/>
        <rFont val="SimSun"/>
        <charset val="134"/>
      </rPr>
      <t>李四</t>
    </r>
  </si>
  <si>
    <t>小张</t>
  </si>
  <si>
    <t>学号</t>
  </si>
  <si>
    <t>姓名</t>
  </si>
  <si>
    <t>语文</t>
  </si>
  <si>
    <t>数学</t>
  </si>
  <si>
    <t>英语</t>
  </si>
  <si>
    <t>物理</t>
  </si>
  <si>
    <t>化学</t>
  </si>
  <si>
    <t>生物</t>
  </si>
  <si>
    <t>总分</t>
  </si>
  <si>
    <t>班级排名</t>
  </si>
  <si>
    <t>张三</t>
  </si>
  <si>
    <t>李四</t>
  </si>
  <si>
    <t>王五</t>
  </si>
  <si>
    <t>赵六</t>
  </si>
  <si>
    <t>孙七</t>
  </si>
  <si>
    <t>周八</t>
  </si>
  <si>
    <t>吴九</t>
  </si>
  <si>
    <t>5（并列）</t>
  </si>
  <si>
    <t>郑十</t>
  </si>
  <si>
    <t>科目</t>
  </si>
  <si>
    <t>参考人数</t>
  </si>
  <si>
    <t>平均分</t>
  </si>
  <si>
    <t>最高分</t>
  </si>
  <si>
    <t>最低分</t>
  </si>
  <si>
    <t>及格人数（≥60）</t>
  </si>
  <si>
    <t>及格率</t>
  </si>
  <si>
    <t>优秀人数（≥85）</t>
  </si>
  <si>
    <t>优秀率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</si>
</sst>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_ "/>
  </numFmts>
  <fonts count="26">
    <font>
      <sz val="11"/>
      <color theme="1"/>
      <name val="微软雅黑"/>
      <charset val="134"/>
    </font>
    <font>
      <sz val="11"/>
      <color rgb="FF000000"/>
      <name val="Arial"/>
      <charset val="204"/>
    </font>
    <font>
      <b/>
      <sz val="16"/>
      <color rgb="FF000000"/>
      <name val="SimSun"/>
      <charset val="134"/>
    </font>
    <font>
      <sz val="9"/>
      <color rgb="FF000000"/>
      <name val="SimSun"/>
      <charset val="134"/>
    </font>
    <font>
      <sz val="11"/>
      <color rgb="FF000000"/>
      <name val="宋体-简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SimSun"/>
      <charset val="134"/>
    </font>
    <font>
      <b/>
      <sz val="16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workbookViewId="0">
      <selection activeCell="Q6" sqref="Q6"/>
    </sheetView>
  </sheetViews>
  <sheetFormatPr defaultColWidth="8" defaultRowHeight="16.8"/>
  <cols>
    <col min="1" max="1" width="6.40441176470588" style="4" customWidth="1"/>
    <col min="2" max="2" width="5.92647058823529" style="4" customWidth="1"/>
    <col min="3" max="3" width="6" style="4" customWidth="1"/>
    <col min="4" max="4" width="6.07352941176471" style="4" customWidth="1"/>
    <col min="5" max="6" width="6" style="4" customWidth="1"/>
    <col min="7" max="7" width="5.92647058823529" style="4" customWidth="1"/>
    <col min="8" max="9" width="6" style="4" customWidth="1"/>
    <col min="10" max="10" width="6.07352941176471" style="4" customWidth="1"/>
    <col min="11" max="11" width="11.2132352941176" style="4" customWidth="1"/>
    <col min="12" max="12" width="8.05882352941176" style="4"/>
    <col min="13" max="16384" width="8" style="4"/>
  </cols>
  <sheetData>
    <row r="1" ht="31.75" customHeight="1" spans="1:1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19" customHeight="1" spans="1:1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13" t="s">
        <v>12</v>
      </c>
    </row>
    <row r="3" ht="20.5" customHeight="1" spans="1:12">
      <c r="A3" s="8">
        <v>200101</v>
      </c>
      <c r="B3" s="7" t="s">
        <v>13</v>
      </c>
      <c r="C3" s="9" t="s">
        <v>14</v>
      </c>
      <c r="D3" s="8">
        <v>97</v>
      </c>
      <c r="E3" s="8">
        <v>128</v>
      </c>
      <c r="F3" s="8">
        <v>91</v>
      </c>
      <c r="G3" s="8">
        <v>89</v>
      </c>
      <c r="H3" s="8">
        <v>83</v>
      </c>
      <c r="I3" s="8">
        <v>488</v>
      </c>
      <c r="J3" s="14">
        <v>97.6</v>
      </c>
      <c r="K3" s="15">
        <v>76.53</v>
      </c>
      <c r="L3" s="16">
        <f>SUM(D3:H3)</f>
        <v>488</v>
      </c>
    </row>
    <row r="4" ht="20" customHeight="1" spans="1:12">
      <c r="A4" s="8">
        <v>200102</v>
      </c>
      <c r="B4" s="7" t="s">
        <v>15</v>
      </c>
      <c r="C4" s="9"/>
      <c r="D4" s="8">
        <v>124</v>
      </c>
      <c r="E4" s="8">
        <v>133</v>
      </c>
      <c r="F4" s="8">
        <v>115</v>
      </c>
      <c r="G4" s="8">
        <v>63</v>
      </c>
      <c r="H4" s="8">
        <v>82</v>
      </c>
      <c r="I4" s="8">
        <v>517</v>
      </c>
      <c r="J4" s="14">
        <v>103.4</v>
      </c>
      <c r="K4" s="14">
        <v>78.6</v>
      </c>
      <c r="L4" s="16">
        <f t="shared" ref="L4:L25" si="0">SUM(D4:H4)</f>
        <v>517</v>
      </c>
    </row>
    <row r="5" ht="19.5" customHeight="1" spans="1:12">
      <c r="A5" s="8">
        <v>200103</v>
      </c>
      <c r="B5" s="10" t="s">
        <v>16</v>
      </c>
      <c r="C5" s="9"/>
      <c r="D5" s="8">
        <v>116</v>
      </c>
      <c r="E5" s="8">
        <v>85</v>
      </c>
      <c r="F5" s="8">
        <v>117</v>
      </c>
      <c r="G5" s="8">
        <v>80</v>
      </c>
      <c r="H5" s="8">
        <v>93</v>
      </c>
      <c r="I5" s="8">
        <v>491</v>
      </c>
      <c r="J5" s="14">
        <v>98.2</v>
      </c>
      <c r="K5" s="8">
        <v>77</v>
      </c>
      <c r="L5" s="16">
        <f t="shared" si="0"/>
        <v>491</v>
      </c>
    </row>
    <row r="6" ht="20.5" customHeight="1" spans="1:12">
      <c r="A6" s="8">
        <v>200104</v>
      </c>
      <c r="B6" s="10"/>
      <c r="C6" s="9"/>
      <c r="D6" s="8">
        <v>104</v>
      </c>
      <c r="E6" s="8">
        <v>128</v>
      </c>
      <c r="F6" s="8">
        <v>128</v>
      </c>
      <c r="G6" s="8">
        <v>79</v>
      </c>
      <c r="H6" s="8">
        <v>84</v>
      </c>
      <c r="I6" s="8">
        <v>523</v>
      </c>
      <c r="J6" s="14">
        <v>104.6</v>
      </c>
      <c r="K6" s="14">
        <v>80.6</v>
      </c>
      <c r="L6" s="16">
        <f t="shared" si="0"/>
        <v>523</v>
      </c>
    </row>
    <row r="7" ht="20" customHeight="1" spans="1:12">
      <c r="A7" s="8">
        <v>200105</v>
      </c>
      <c r="B7" s="10"/>
      <c r="C7" s="7" t="s">
        <v>14</v>
      </c>
      <c r="D7" s="8">
        <v>132</v>
      </c>
      <c r="E7" s="8">
        <v>91</v>
      </c>
      <c r="F7" s="8">
        <v>110</v>
      </c>
      <c r="G7" s="8">
        <v>67</v>
      </c>
      <c r="H7" s="8">
        <v>51</v>
      </c>
      <c r="I7" s="8">
        <v>451</v>
      </c>
      <c r="J7" s="14">
        <v>90.2</v>
      </c>
      <c r="K7" s="8">
        <v>68</v>
      </c>
      <c r="L7" s="16">
        <f t="shared" si="0"/>
        <v>451</v>
      </c>
    </row>
    <row r="8" ht="19.5" customHeight="1" spans="1:12">
      <c r="A8" s="8">
        <v>200106</v>
      </c>
      <c r="B8" s="10"/>
      <c r="C8" s="7" t="s">
        <v>14</v>
      </c>
      <c r="D8" s="8">
        <v>126</v>
      </c>
      <c r="E8" s="8">
        <v>135</v>
      </c>
      <c r="F8" s="8">
        <v>150</v>
      </c>
      <c r="G8" s="8">
        <v>86</v>
      </c>
      <c r="H8" s="8">
        <v>65</v>
      </c>
      <c r="I8" s="8">
        <v>562</v>
      </c>
      <c r="J8" s="14">
        <v>112.4</v>
      </c>
      <c r="K8" s="8">
        <v>85</v>
      </c>
      <c r="L8" s="16">
        <f t="shared" si="0"/>
        <v>562</v>
      </c>
    </row>
    <row r="9" ht="20.5" customHeight="1" spans="1:12">
      <c r="A9" s="8">
        <v>200107</v>
      </c>
      <c r="B9" s="10"/>
      <c r="C9" s="7" t="s">
        <v>14</v>
      </c>
      <c r="D9" s="8">
        <v>122</v>
      </c>
      <c r="E9" s="8">
        <v>144</v>
      </c>
      <c r="F9" s="8">
        <v>128</v>
      </c>
      <c r="G9" s="8">
        <v>71</v>
      </c>
      <c r="H9" s="8">
        <v>83</v>
      </c>
      <c r="I9" s="8">
        <v>548</v>
      </c>
      <c r="J9" s="14">
        <v>109.6</v>
      </c>
      <c r="K9" s="15">
        <v>83.33</v>
      </c>
      <c r="L9" s="16">
        <f t="shared" si="0"/>
        <v>548</v>
      </c>
    </row>
    <row r="10" ht="20" customHeight="1" spans="1:12">
      <c r="A10" s="8">
        <v>200108</v>
      </c>
      <c r="B10" s="10"/>
      <c r="C10" s="7" t="s">
        <v>14</v>
      </c>
      <c r="D10" s="8">
        <v>127</v>
      </c>
      <c r="E10" s="8">
        <v>124</v>
      </c>
      <c r="F10" s="8">
        <v>82</v>
      </c>
      <c r="G10" s="8">
        <v>61</v>
      </c>
      <c r="H10" s="8">
        <v>75</v>
      </c>
      <c r="I10" s="8">
        <v>469</v>
      </c>
      <c r="J10" s="14">
        <v>93.8</v>
      </c>
      <c r="K10" s="14">
        <v>71.6</v>
      </c>
      <c r="L10" s="16">
        <f t="shared" si="0"/>
        <v>469</v>
      </c>
    </row>
    <row r="11" ht="19.5" customHeight="1" spans="1:12">
      <c r="A11" s="8">
        <v>200109</v>
      </c>
      <c r="B11" s="10"/>
      <c r="C11" s="7" t="s">
        <v>14</v>
      </c>
      <c r="D11" s="8">
        <v>124</v>
      </c>
      <c r="E11" s="8">
        <v>114</v>
      </c>
      <c r="F11" s="8">
        <v>135</v>
      </c>
      <c r="G11" s="8">
        <v>87</v>
      </c>
      <c r="H11" s="8">
        <v>100</v>
      </c>
      <c r="I11" s="8">
        <v>560</v>
      </c>
      <c r="J11" s="8">
        <v>112</v>
      </c>
      <c r="K11" s="15">
        <v>87.13</v>
      </c>
      <c r="L11" s="16">
        <f t="shared" si="0"/>
        <v>560</v>
      </c>
    </row>
    <row r="12" ht="20.5" customHeight="1" spans="1:12">
      <c r="A12" s="8">
        <v>200110</v>
      </c>
      <c r="B12" s="10"/>
      <c r="C12" s="7" t="s">
        <v>14</v>
      </c>
      <c r="D12" s="8">
        <v>132</v>
      </c>
      <c r="E12" s="8">
        <v>127</v>
      </c>
      <c r="F12" s="8">
        <v>116</v>
      </c>
      <c r="G12" s="8">
        <v>51</v>
      </c>
      <c r="H12" s="8">
        <v>72</v>
      </c>
      <c r="I12" s="8">
        <v>498</v>
      </c>
      <c r="J12" s="14">
        <v>99.6</v>
      </c>
      <c r="K12" s="14">
        <v>74.6</v>
      </c>
      <c r="L12" s="16">
        <f t="shared" si="0"/>
        <v>498</v>
      </c>
    </row>
    <row r="13" ht="20" customHeight="1" spans="1:12">
      <c r="A13" s="8">
        <v>200111</v>
      </c>
      <c r="B13" s="10"/>
      <c r="C13" s="7" t="s">
        <v>14</v>
      </c>
      <c r="D13" s="8">
        <v>100</v>
      </c>
      <c r="E13" s="8">
        <v>103</v>
      </c>
      <c r="F13" s="8">
        <v>124</v>
      </c>
      <c r="G13" s="8">
        <v>82</v>
      </c>
      <c r="H13" s="8">
        <v>88</v>
      </c>
      <c r="I13" s="8">
        <v>497</v>
      </c>
      <c r="J13" s="14">
        <v>99.4</v>
      </c>
      <c r="K13" s="14">
        <v>77.6</v>
      </c>
      <c r="L13" s="16">
        <f t="shared" si="0"/>
        <v>497</v>
      </c>
    </row>
    <row r="14" ht="19.5" customHeight="1" spans="1:12">
      <c r="A14" s="8">
        <v>200112</v>
      </c>
      <c r="B14" s="10"/>
      <c r="C14" s="7" t="s">
        <v>14</v>
      </c>
      <c r="D14" s="8">
        <v>132</v>
      </c>
      <c r="E14" s="8">
        <v>148</v>
      </c>
      <c r="F14" s="8">
        <v>120</v>
      </c>
      <c r="G14" s="8">
        <v>83</v>
      </c>
      <c r="H14" s="8">
        <v>63</v>
      </c>
      <c r="I14" s="8">
        <v>546</v>
      </c>
      <c r="J14" s="14">
        <v>109.2</v>
      </c>
      <c r="K14" s="15">
        <v>82.53</v>
      </c>
      <c r="L14" s="16">
        <f t="shared" si="0"/>
        <v>546</v>
      </c>
    </row>
    <row r="15" ht="20.5" customHeight="1" spans="1:12">
      <c r="A15" s="8">
        <v>200113</v>
      </c>
      <c r="B15" s="10"/>
      <c r="C15" s="7" t="s">
        <v>14</v>
      </c>
      <c r="D15" s="8">
        <v>86</v>
      </c>
      <c r="E15" s="8">
        <v>67</v>
      </c>
      <c r="F15" s="8">
        <v>121</v>
      </c>
      <c r="G15" s="8">
        <v>78</v>
      </c>
      <c r="H15" s="8">
        <v>42</v>
      </c>
      <c r="I15" s="8">
        <v>394</v>
      </c>
      <c r="J15" s="14">
        <v>78.8</v>
      </c>
      <c r="K15" s="15">
        <v>60.53</v>
      </c>
      <c r="L15" s="16">
        <f t="shared" si="0"/>
        <v>394</v>
      </c>
    </row>
    <row r="16" ht="20" customHeight="1" spans="1:12">
      <c r="A16" s="8">
        <v>200114</v>
      </c>
      <c r="B16" s="10"/>
      <c r="C16" s="7" t="s">
        <v>14</v>
      </c>
      <c r="D16" s="8">
        <v>131</v>
      </c>
      <c r="E16" s="8">
        <v>139</v>
      </c>
      <c r="F16" s="8">
        <v>65</v>
      </c>
      <c r="G16" s="8">
        <v>58</v>
      </c>
      <c r="H16" s="8">
        <v>41</v>
      </c>
      <c r="I16" s="8">
        <v>434</v>
      </c>
      <c r="J16" s="14">
        <v>86.8</v>
      </c>
      <c r="K16" s="15">
        <v>64.46</v>
      </c>
      <c r="L16" s="16">
        <f t="shared" si="0"/>
        <v>434</v>
      </c>
    </row>
    <row r="17" ht="19.5" customHeight="1" spans="1:12">
      <c r="A17" s="8">
        <v>200115</v>
      </c>
      <c r="B17" s="10"/>
      <c r="C17" s="7" t="s">
        <v>14</v>
      </c>
      <c r="D17" s="8">
        <v>108</v>
      </c>
      <c r="E17" s="8">
        <v>128</v>
      </c>
      <c r="F17" s="8">
        <v>60</v>
      </c>
      <c r="G17" s="8">
        <v>84</v>
      </c>
      <c r="H17" s="8">
        <v>51</v>
      </c>
      <c r="I17" s="8">
        <v>431</v>
      </c>
      <c r="J17" s="14">
        <v>86.2</v>
      </c>
      <c r="K17" s="15">
        <v>66.46</v>
      </c>
      <c r="L17" s="16">
        <f t="shared" si="0"/>
        <v>431</v>
      </c>
    </row>
    <row r="18" ht="20.5" customHeight="1" spans="1:12">
      <c r="A18" s="8">
        <v>200116</v>
      </c>
      <c r="B18" s="10"/>
      <c r="C18" s="7" t="s">
        <v>14</v>
      </c>
      <c r="D18" s="8">
        <v>124</v>
      </c>
      <c r="E18" s="8">
        <v>117</v>
      </c>
      <c r="F18" s="8">
        <v>131</v>
      </c>
      <c r="G18" s="8">
        <v>58</v>
      </c>
      <c r="H18" s="8">
        <v>46</v>
      </c>
      <c r="I18" s="8">
        <v>476</v>
      </c>
      <c r="J18" s="14">
        <v>95.2</v>
      </c>
      <c r="K18" s="14">
        <v>70.4</v>
      </c>
      <c r="L18" s="16">
        <f t="shared" si="0"/>
        <v>476</v>
      </c>
    </row>
    <row r="19" ht="20" customHeight="1" spans="1:12">
      <c r="A19" s="8">
        <v>200117</v>
      </c>
      <c r="B19" s="10"/>
      <c r="C19" s="7" t="s">
        <v>14</v>
      </c>
      <c r="D19" s="8">
        <v>130</v>
      </c>
      <c r="E19" s="8">
        <v>127</v>
      </c>
      <c r="F19" s="8">
        <v>63</v>
      </c>
      <c r="G19" s="8">
        <v>82</v>
      </c>
      <c r="H19" s="8">
        <v>76</v>
      </c>
      <c r="I19" s="8">
        <v>478</v>
      </c>
      <c r="J19" s="14">
        <v>95.6</v>
      </c>
      <c r="K19" s="15">
        <v>74.26</v>
      </c>
      <c r="L19" s="16">
        <f t="shared" si="0"/>
        <v>478</v>
      </c>
    </row>
    <row r="20" ht="19.5" customHeight="1" spans="1:12">
      <c r="A20" s="8">
        <v>200118</v>
      </c>
      <c r="B20" s="10"/>
      <c r="C20" s="7" t="s">
        <v>14</v>
      </c>
      <c r="D20" s="8">
        <v>83</v>
      </c>
      <c r="E20" s="8">
        <v>131</v>
      </c>
      <c r="F20" s="8">
        <v>124</v>
      </c>
      <c r="G20" s="8">
        <v>58</v>
      </c>
      <c r="H20" s="8">
        <v>62</v>
      </c>
      <c r="I20" s="8">
        <v>458</v>
      </c>
      <c r="J20" s="14">
        <v>91.6</v>
      </c>
      <c r="K20" s="15">
        <v>69.06</v>
      </c>
      <c r="L20" s="16">
        <f t="shared" si="0"/>
        <v>458</v>
      </c>
    </row>
    <row r="21" ht="20.5" customHeight="1" spans="1:12">
      <c r="A21" s="8">
        <v>200119</v>
      </c>
      <c r="B21" s="10"/>
      <c r="C21" s="7" t="s">
        <v>14</v>
      </c>
      <c r="D21" s="8">
        <v>115</v>
      </c>
      <c r="E21" s="8">
        <v>113</v>
      </c>
      <c r="F21" s="8">
        <v>78</v>
      </c>
      <c r="G21" s="8">
        <v>40</v>
      </c>
      <c r="H21" s="8">
        <v>80</v>
      </c>
      <c r="I21" s="8">
        <v>426</v>
      </c>
      <c r="J21" s="14">
        <v>85.2</v>
      </c>
      <c r="K21" s="14">
        <v>64.8</v>
      </c>
      <c r="L21" s="16">
        <f t="shared" si="0"/>
        <v>426</v>
      </c>
    </row>
    <row r="22" ht="20" customHeight="1" spans="1:12">
      <c r="A22" s="8">
        <v>200120</v>
      </c>
      <c r="B22" s="10"/>
      <c r="C22" s="7" t="s">
        <v>14</v>
      </c>
      <c r="D22" s="8">
        <v>64</v>
      </c>
      <c r="E22" s="8">
        <v>77</v>
      </c>
      <c r="F22" s="8">
        <v>129</v>
      </c>
      <c r="G22" s="8">
        <v>82</v>
      </c>
      <c r="H22" s="8">
        <v>55</v>
      </c>
      <c r="I22" s="8">
        <v>407</v>
      </c>
      <c r="J22" s="14">
        <v>81.4</v>
      </c>
      <c r="K22" s="14">
        <v>63.4</v>
      </c>
      <c r="L22" s="16">
        <f t="shared" si="0"/>
        <v>407</v>
      </c>
    </row>
    <row r="23" ht="19.5" customHeight="1" spans="1:12">
      <c r="A23" s="8">
        <v>200121</v>
      </c>
      <c r="B23" s="10"/>
      <c r="C23" s="7" t="s">
        <v>14</v>
      </c>
      <c r="D23" s="8">
        <v>124</v>
      </c>
      <c r="E23" s="8">
        <v>88</v>
      </c>
      <c r="F23" s="8">
        <v>127</v>
      </c>
      <c r="G23" s="8">
        <v>92</v>
      </c>
      <c r="H23" s="8">
        <v>75</v>
      </c>
      <c r="I23" s="8">
        <v>506</v>
      </c>
      <c r="J23" s="14">
        <v>101.2</v>
      </c>
      <c r="K23" s="14">
        <v>78.6</v>
      </c>
      <c r="L23" s="16">
        <f t="shared" si="0"/>
        <v>506</v>
      </c>
    </row>
    <row r="24" ht="20.5" customHeight="1" spans="1:12">
      <c r="A24" s="8">
        <v>200122</v>
      </c>
      <c r="B24" s="10"/>
      <c r="C24" s="7" t="s">
        <v>14</v>
      </c>
      <c r="D24" s="8">
        <v>84</v>
      </c>
      <c r="E24" s="8">
        <v>55</v>
      </c>
      <c r="F24" s="8">
        <v>99</v>
      </c>
      <c r="G24" s="8">
        <v>58</v>
      </c>
      <c r="H24" s="8">
        <v>83</v>
      </c>
      <c r="I24" s="8">
        <v>379</v>
      </c>
      <c r="J24" s="14">
        <v>75.8</v>
      </c>
      <c r="K24" s="15">
        <v>59.93</v>
      </c>
      <c r="L24" s="16">
        <f t="shared" si="0"/>
        <v>379</v>
      </c>
    </row>
    <row r="25" ht="19.75" customHeight="1" spans="1:12">
      <c r="A25" s="8">
        <v>200123</v>
      </c>
      <c r="B25" s="10"/>
      <c r="C25" s="7" t="s">
        <v>14</v>
      </c>
      <c r="D25" s="8">
        <v>121</v>
      </c>
      <c r="E25" s="8">
        <v>123</v>
      </c>
      <c r="F25" s="8">
        <v>90</v>
      </c>
      <c r="G25" s="8">
        <v>54</v>
      </c>
      <c r="H25" s="8">
        <v>83</v>
      </c>
      <c r="I25" s="8">
        <v>471</v>
      </c>
      <c r="J25" s="14">
        <v>94.2</v>
      </c>
      <c r="K25" s="15">
        <v>71.93</v>
      </c>
      <c r="L25" s="16">
        <f t="shared" si="0"/>
        <v>471</v>
      </c>
    </row>
    <row r="26" spans="1:12">
      <c r="A26" s="11" t="s">
        <v>12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6">
        <f>SUM(L3:L25)</f>
        <v>11010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A1:K1"/>
    <mergeCell ref="A26:K26"/>
    <mergeCell ref="B5:B25"/>
    <mergeCell ref="C3:C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H17" sqref="H17"/>
    </sheetView>
  </sheetViews>
  <sheetFormatPr defaultColWidth="8.94117647058824" defaultRowHeight="16.8"/>
  <cols>
    <col min="1" max="1" width="11.5294117647059" customWidth="1"/>
  </cols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s="1">
        <v>2024010101</v>
      </c>
      <c r="B2" s="1" t="s">
        <v>27</v>
      </c>
      <c r="C2" s="1">
        <v>88</v>
      </c>
      <c r="D2" s="1">
        <v>95</v>
      </c>
      <c r="E2" s="1">
        <v>92</v>
      </c>
      <c r="F2" s="1">
        <v>89</v>
      </c>
      <c r="G2" s="1">
        <v>91</v>
      </c>
      <c r="H2" s="1">
        <v>87</v>
      </c>
      <c r="I2" s="1">
        <v>542</v>
      </c>
      <c r="J2" s="1">
        <v>1</v>
      </c>
    </row>
    <row r="3" spans="1:10">
      <c r="A3" s="1">
        <v>2024010102</v>
      </c>
      <c r="B3" s="1" t="s">
        <v>28</v>
      </c>
      <c r="C3" s="1">
        <v>92</v>
      </c>
      <c r="D3" s="1">
        <v>86</v>
      </c>
      <c r="E3" s="1">
        <v>94</v>
      </c>
      <c r="F3" s="1">
        <v>85</v>
      </c>
      <c r="G3" s="1">
        <v>88</v>
      </c>
      <c r="H3" s="1">
        <v>90</v>
      </c>
      <c r="I3" s="1">
        <v>535</v>
      </c>
      <c r="J3" s="1">
        <v>2</v>
      </c>
    </row>
    <row r="4" spans="1:10">
      <c r="A4" s="1">
        <v>2024010103</v>
      </c>
      <c r="B4" s="1" t="s">
        <v>29</v>
      </c>
      <c r="C4" s="1">
        <v>79</v>
      </c>
      <c r="D4" s="1">
        <v>90</v>
      </c>
      <c r="E4" s="1">
        <v>85</v>
      </c>
      <c r="F4" s="1">
        <v>93</v>
      </c>
      <c r="G4" s="1">
        <v>82</v>
      </c>
      <c r="H4" s="1">
        <v>88</v>
      </c>
      <c r="I4" s="1">
        <v>517</v>
      </c>
      <c r="J4" s="1">
        <v>3</v>
      </c>
    </row>
    <row r="5" spans="1:10">
      <c r="A5" s="1">
        <v>2024010104</v>
      </c>
      <c r="B5" s="1" t="s">
        <v>30</v>
      </c>
      <c r="C5" s="1">
        <v>85</v>
      </c>
      <c r="D5" s="1">
        <v>78</v>
      </c>
      <c r="E5" s="1">
        <v>89</v>
      </c>
      <c r="F5" s="1">
        <v>81</v>
      </c>
      <c r="G5" s="1">
        <v>76</v>
      </c>
      <c r="H5" s="1">
        <v>83</v>
      </c>
      <c r="I5" s="1">
        <v>492</v>
      </c>
      <c r="J5" s="1">
        <v>4</v>
      </c>
    </row>
    <row r="6" spans="1:10">
      <c r="A6" s="1">
        <v>2024010105</v>
      </c>
      <c r="B6" s="1" t="s">
        <v>31</v>
      </c>
      <c r="C6" s="1">
        <v>90</v>
      </c>
      <c r="D6" s="1">
        <v>82</v>
      </c>
      <c r="E6" s="1">
        <v>77</v>
      </c>
      <c r="F6" s="1">
        <v>79</v>
      </c>
      <c r="G6" s="1">
        <v>84</v>
      </c>
      <c r="H6" s="1">
        <v>75</v>
      </c>
      <c r="I6" s="1">
        <v>487</v>
      </c>
      <c r="J6" s="1">
        <v>5</v>
      </c>
    </row>
    <row r="7" spans="1:10">
      <c r="A7" s="1">
        <v>2024010106</v>
      </c>
      <c r="B7" s="1" t="s">
        <v>32</v>
      </c>
      <c r="C7" s="1">
        <v>76</v>
      </c>
      <c r="D7" s="1">
        <v>80</v>
      </c>
      <c r="E7" s="1">
        <v>83</v>
      </c>
      <c r="F7" s="1">
        <v>74</v>
      </c>
      <c r="G7" s="1">
        <v>81</v>
      </c>
      <c r="H7" s="1">
        <v>78</v>
      </c>
      <c r="I7" s="1">
        <v>472</v>
      </c>
      <c r="J7" s="1">
        <v>6</v>
      </c>
    </row>
    <row r="8" spans="1:10">
      <c r="A8" s="1">
        <v>2024010107</v>
      </c>
      <c r="B8" s="1" t="s">
        <v>33</v>
      </c>
      <c r="C8" s="1">
        <v>83</v>
      </c>
      <c r="D8" s="1">
        <v>75</v>
      </c>
      <c r="E8" s="1">
        <v>79</v>
      </c>
      <c r="F8" s="1">
        <v>80</v>
      </c>
      <c r="G8" s="1">
        <v>77</v>
      </c>
      <c r="H8" s="1">
        <v>81</v>
      </c>
      <c r="I8" s="1">
        <v>475</v>
      </c>
      <c r="J8" s="1" t="s">
        <v>34</v>
      </c>
    </row>
    <row r="9" spans="1:10">
      <c r="A9" s="1">
        <v>2024010108</v>
      </c>
      <c r="B9" s="1" t="s">
        <v>35</v>
      </c>
      <c r="C9" s="1">
        <v>72</v>
      </c>
      <c r="D9" s="1">
        <v>68</v>
      </c>
      <c r="E9" s="1">
        <v>75</v>
      </c>
      <c r="F9" s="1">
        <v>69</v>
      </c>
      <c r="G9" s="1">
        <v>73</v>
      </c>
      <c r="H9" s="1">
        <v>70</v>
      </c>
      <c r="I9" s="1">
        <v>427</v>
      </c>
      <c r="J9" s="1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H13" sqref="H13"/>
    </sheetView>
  </sheetViews>
  <sheetFormatPr defaultColWidth="8.94117647058824" defaultRowHeight="16.8" outlineLevelRow="7"/>
  <cols>
    <col min="6" max="6" width="15.4705882352941" customWidth="1"/>
    <col min="8" max="8" width="15.5588235294118" customWidth="1"/>
  </cols>
  <sheetData>
    <row r="1" spans="1:9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>
      <c r="A2" s="1" t="s">
        <v>19</v>
      </c>
      <c r="B2" s="1">
        <v>8</v>
      </c>
      <c r="C2" s="1">
        <v>82.13</v>
      </c>
      <c r="D2" s="1">
        <v>92</v>
      </c>
      <c r="E2" s="1">
        <v>72</v>
      </c>
      <c r="F2" s="1">
        <v>8</v>
      </c>
      <c r="G2" s="2">
        <v>1</v>
      </c>
      <c r="H2" s="1">
        <v>4</v>
      </c>
      <c r="I2" s="2">
        <v>0.5</v>
      </c>
    </row>
    <row r="3" spans="1:9">
      <c r="A3" s="1" t="s">
        <v>20</v>
      </c>
      <c r="B3" s="1">
        <v>8</v>
      </c>
      <c r="C3" s="1">
        <v>84.25</v>
      </c>
      <c r="D3" s="1">
        <v>95</v>
      </c>
      <c r="E3" s="1">
        <v>68</v>
      </c>
      <c r="F3" s="1">
        <v>8</v>
      </c>
      <c r="G3" s="2">
        <v>1</v>
      </c>
      <c r="H3" s="1">
        <v>3</v>
      </c>
      <c r="I3" s="3">
        <v>0.375</v>
      </c>
    </row>
    <row r="4" spans="1:9">
      <c r="A4" s="1" t="s">
        <v>21</v>
      </c>
      <c r="B4" s="1">
        <v>8</v>
      </c>
      <c r="C4" s="1">
        <v>85.13</v>
      </c>
      <c r="D4" s="1">
        <v>94</v>
      </c>
      <c r="E4" s="1">
        <v>75</v>
      </c>
      <c r="F4" s="1">
        <v>8</v>
      </c>
      <c r="G4" s="2">
        <v>1</v>
      </c>
      <c r="H4" s="1">
        <v>3</v>
      </c>
      <c r="I4" s="3">
        <v>0.375</v>
      </c>
    </row>
    <row r="5" spans="1:9">
      <c r="A5" s="1" t="s">
        <v>22</v>
      </c>
      <c r="B5" s="1">
        <v>8</v>
      </c>
      <c r="C5" s="1">
        <v>83.38</v>
      </c>
      <c r="D5" s="1">
        <v>93</v>
      </c>
      <c r="E5" s="1">
        <v>69</v>
      </c>
      <c r="F5" s="1">
        <v>8</v>
      </c>
      <c r="G5" s="2">
        <v>1</v>
      </c>
      <c r="H5" s="1">
        <v>2</v>
      </c>
      <c r="I5" s="2">
        <v>0.25</v>
      </c>
    </row>
    <row r="6" spans="1:9">
      <c r="A6" s="1" t="s">
        <v>23</v>
      </c>
      <c r="B6" s="1">
        <v>8</v>
      </c>
      <c r="C6" s="1">
        <v>82.5</v>
      </c>
      <c r="D6" s="1">
        <v>91</v>
      </c>
      <c r="E6" s="1">
        <v>73</v>
      </c>
      <c r="F6" s="1">
        <v>8</v>
      </c>
      <c r="G6" s="2">
        <v>1</v>
      </c>
      <c r="H6" s="1">
        <v>2</v>
      </c>
      <c r="I6" s="2">
        <v>0.25</v>
      </c>
    </row>
    <row r="7" spans="1:9">
      <c r="A7" s="1" t="s">
        <v>24</v>
      </c>
      <c r="B7" s="1">
        <v>8</v>
      </c>
      <c r="C7" s="1">
        <v>81.63</v>
      </c>
      <c r="D7" s="1">
        <v>90</v>
      </c>
      <c r="E7" s="1">
        <v>70</v>
      </c>
      <c r="F7" s="1">
        <v>8</v>
      </c>
      <c r="G7" s="2">
        <v>1</v>
      </c>
      <c r="H7" s="1">
        <v>2</v>
      </c>
      <c r="I7" s="2">
        <v>0.25</v>
      </c>
    </row>
    <row r="8" spans="1:9">
      <c r="A8" s="1" t="s">
        <v>25</v>
      </c>
      <c r="B8" s="1">
        <v>8</v>
      </c>
      <c r="C8" s="1">
        <v>498</v>
      </c>
      <c r="D8" s="1">
        <v>542</v>
      </c>
      <c r="E8" s="1">
        <v>427</v>
      </c>
      <c r="F8" s="1">
        <v>8</v>
      </c>
      <c r="G8" s="2">
        <v>1</v>
      </c>
      <c r="H8" s="1">
        <v>2</v>
      </c>
      <c r="I8" s="2">
        <v>0.25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WWO_wpscloud_20250806173754-cb0c0c2a42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student_score</vt:lpstr>
      <vt:lpstr>高一（1）班期中考试成绩</vt:lpstr>
      <vt:lpstr>高一（1）班成绩分析（按科目）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xingguangyu</cp:lastModifiedBy>
  <dcterms:created xsi:type="dcterms:W3CDTF">2025-08-09T22:23:00Z</dcterms:created>
  <dcterms:modified xsi:type="dcterms:W3CDTF">2025-09-28T13:53:06Z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5F8BCB31746288906797BE68BE8060B3_43</vt:lpwstr>
  </property>
  <property fmtid="{D5CDD505-2E9C-101B-9397-08002B2CF9AE}" pid="3" name="KSOProductBuildVer">
    <vt:lpwstr>2052-7.5.1.8994</vt:lpwstr>
  </property>
</Properties>
</file>